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<sst xmlns="http://schemas.openxmlformats.org/spreadsheetml/2006/main" count="84" uniqueCount="62">
  <si>
    <t>1. Write a formula to check if the marks in cell B2 are greater than or equal to 40. If yes, return "Pass", otherwise</t>
  </si>
  <si>
    <t>Student Name</t>
  </si>
  <si>
    <t>Marks</t>
  </si>
  <si>
    <t>Answer</t>
  </si>
  <si>
    <t>Riya</t>
  </si>
  <si>
    <t>Siya</t>
  </si>
  <si>
    <t>Raju</t>
  </si>
  <si>
    <t>Rahul</t>
  </si>
  <si>
    <t>Ram</t>
  </si>
  <si>
    <t>2. A company gives a bonus if sales are above 40,000 and attendance is greater than or equal to 90%. Write a formula to calculate whether the employee will get a bonus or not .</t>
  </si>
  <si>
    <t>Employee</t>
  </si>
  <si>
    <t>Sales</t>
  </si>
  <si>
    <t>Attendance</t>
  </si>
  <si>
    <t>Arjun</t>
  </si>
  <si>
    <t>Simran</t>
  </si>
  <si>
    <t>Rohit</t>
  </si>
  <si>
    <t>Anjali</t>
  </si>
  <si>
    <t>3. Write a nested IF formula to assign grades based on marks in cell B2, where ≥90 = "A", ≥75 = "B", ≥50 = "C", otherwise "Fail".</t>
  </si>
  <si>
    <t>Raj</t>
  </si>
  <si>
    <t>Neha</t>
  </si>
  <si>
    <t>Vivek</t>
  </si>
  <si>
    <t>Rani</t>
  </si>
  <si>
    <t>Sneha</t>
  </si>
  <si>
    <t>4. Find the Department of Employee ID=E103. Also explain which LOOKUP function is used and why?</t>
  </si>
  <si>
    <t>EmpID</t>
  </si>
  <si>
    <t>Name</t>
  </si>
  <si>
    <t>Department</t>
  </si>
  <si>
    <t>Look up value</t>
  </si>
  <si>
    <t>E101</t>
  </si>
  <si>
    <t>IT</t>
  </si>
  <si>
    <t>E103</t>
  </si>
  <si>
    <t>E102</t>
  </si>
  <si>
    <t>HR</t>
  </si>
  <si>
    <t>Roshni</t>
  </si>
  <si>
    <t>Finance</t>
  </si>
  <si>
    <t>E104</t>
  </si>
  <si>
    <t>Sejal</t>
  </si>
  <si>
    <t>Answer:</t>
  </si>
  <si>
    <t>Result: The Department for EmpID E103 is Finance</t>
  </si>
  <si>
    <t>Function Used: VLOOKUP (Vertical Lookup).</t>
  </si>
  <si>
    <t>Explanation: VLOOKUP is used because the data is organized in vertical columns. This function allows you to search for a specific value (the EmpID "E103") in the first column of a table and retrieve a corresponding value (the Department) from a different column (in this case, the 3rd column) in the same row.</t>
  </si>
  <si>
    <t>5. A company has set the following commission structure for its sales team: If a salesperson achieves sales of ₹45,000, use the VLOOKUP function to determine the commission rate applicable.</t>
  </si>
  <si>
    <t>Sales Amount</t>
  </si>
  <si>
    <t>Commission Rate</t>
  </si>
  <si>
    <t>6. The HR department maintains the following leave records of employees: Write an IF function to check whether an employee has Exceeded their allowed leave balance. If Leaves Taken &gt; Allowed Leaves, display "Exceeded". Otherwise, display "OK".</t>
  </si>
  <si>
    <t>Employee Name</t>
  </si>
  <si>
    <t>Leaves Taken</t>
  </si>
  <si>
    <t>Leaves Allowed</t>
  </si>
  <si>
    <t>SOLUTION</t>
  </si>
  <si>
    <t>Alex</t>
  </si>
  <si>
    <t>Bob</t>
  </si>
  <si>
    <t>Anna</t>
  </si>
  <si>
    <t>7. Find the salary of EmpID =E105 using INDEX-MATCH Function.</t>
  </si>
  <si>
    <t>Salary</t>
  </si>
  <si>
    <t>Salary Of E105</t>
  </si>
  <si>
    <t>E105</t>
  </si>
  <si>
    <t>E106</t>
  </si>
  <si>
    <t>Answer: The INDEX-MATCH combination is used to look up a value in a column (E105) and return a value from another column (Salary) at the same position. This formula works even if the data is not sorted</t>
  </si>
  <si>
    <t>8. Use the XLOOKUP function to find the Department of the employee with Emp ID =E3O3</t>
  </si>
  <si>
    <t>Department of E303</t>
  </si>
  <si>
    <t>E303</t>
  </si>
  <si>
    <t>E301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</si>
</sst>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b/>
      <sz val="11.0"/>
      <color rgb="FF1B1C1D"/>
      <name val="&quot;Times New Roman&quot;"/>
    </font>
    <font>
      <sz val="11.0"/>
      <color rgb="FF1B1C1D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9" xfId="0" applyAlignment="1" applyBorder="1" applyFont="1" applyNumberFormat="1">
      <alignment horizontal="center" readingOrder="0"/>
    </xf>
    <xf borderId="0" fillId="0" fontId="1" numFmtId="0" xfId="0" applyAlignment="1" applyFont="1">
      <alignment horizontal="left" readingOrder="0" shrinkToFit="0" wrapText="1"/>
    </xf>
    <xf borderId="1" fillId="0" fontId="2" numFmtId="0" xfId="0" applyAlignment="1" applyBorder="1" applyFont="1">
      <alignment horizontal="center" readingOrder="0" shrinkToFit="0" wrapText="0"/>
    </xf>
    <xf borderId="1" fillId="3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horizontal="left" shrinkToFit="0" wrapText="0"/>
    </xf>
    <xf borderId="0" fillId="0" fontId="1" numFmtId="0" xfId="0" applyAlignment="1" applyFont="1">
      <alignment horizontal="left" readingOrder="0" shrinkToFit="0" wrapText="0"/>
    </xf>
    <xf borderId="1" fillId="2" fontId="3" numFmtId="0" xfId="0" applyAlignment="1" applyBorder="1" applyFont="1">
      <alignment horizontal="left" readingOrder="0" shrinkToFit="0" wrapText="0"/>
    </xf>
    <xf borderId="1" fillId="3" fontId="1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4" numFmtId="9" xfId="0" applyAlignment="1" applyBorder="1" applyFont="1" applyNumberFormat="1">
      <alignment horizontal="left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2" numFmtId="9" xfId="0" applyAlignment="1" applyBorder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horizontal="right" readingOrder="0" shrinkToFit="0" wrapText="0"/>
    </xf>
    <xf borderId="1" fillId="3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horizontal="right" readingOrder="0" shrinkToFit="0" wrapText="0"/>
    </xf>
    <xf borderId="0" fillId="0" fontId="1" numFmtId="0" xfId="0" applyAlignment="1" applyFont="1">
      <alignment shrinkToFit="0" wrapText="0"/>
    </xf>
    <xf borderId="0" fillId="0" fontId="2" numFmtId="0" xfId="0" applyFont="1"/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center" shrinkToFit="0" wrapText="0"/>
    </xf>
    <xf borderId="1" fillId="0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K1" s="2"/>
      <c r="L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3" t="s">
        <v>1</v>
      </c>
      <c r="B3" s="4" t="s">
        <v>2</v>
      </c>
      <c r="C3" s="5" t="s">
        <v>3</v>
      </c>
      <c r="D3" s="2"/>
      <c r="E3" s="2"/>
      <c r="F3" s="2"/>
      <c r="G3" s="2"/>
      <c r="H3" s="2"/>
      <c r="I3" s="2"/>
      <c r="J3" s="2"/>
      <c r="K3" s="2"/>
      <c r="L3" s="2"/>
    </row>
    <row r="4">
      <c r="A4" s="6" t="s">
        <v>4</v>
      </c>
      <c r="B4" s="7">
        <v>45.0</v>
      </c>
      <c r="C4" s="8" t="str">
        <f t="shared" ref="C4:C8" si="1">IF(B4&gt;=40,"Pass","Fail")</f>
        <v>Pass</v>
      </c>
      <c r="D4" s="2"/>
      <c r="E4" s="2"/>
      <c r="F4" s="2"/>
      <c r="G4" s="2"/>
      <c r="H4" s="2"/>
      <c r="I4" s="2"/>
      <c r="J4" s="2"/>
      <c r="K4" s="2"/>
      <c r="L4" s="2"/>
    </row>
    <row r="5">
      <c r="A5" s="6" t="s">
        <v>5</v>
      </c>
      <c r="B5" s="7">
        <v>72.0</v>
      </c>
      <c r="C5" s="8" t="str">
        <f t="shared" si="1"/>
        <v>Pass</v>
      </c>
      <c r="D5" s="2"/>
      <c r="E5" s="2"/>
      <c r="F5" s="2"/>
      <c r="G5" s="2"/>
      <c r="H5" s="2"/>
      <c r="I5" s="2"/>
      <c r="J5" s="2"/>
      <c r="K5" s="2"/>
      <c r="L5" s="2"/>
    </row>
    <row r="6">
      <c r="A6" s="6" t="s">
        <v>6</v>
      </c>
      <c r="B6" s="7">
        <v>55.0</v>
      </c>
      <c r="C6" s="8" t="str">
        <f t="shared" si="1"/>
        <v>Pass</v>
      </c>
      <c r="D6" s="2"/>
      <c r="E6" s="2"/>
      <c r="F6" s="2"/>
      <c r="G6" s="2"/>
      <c r="H6" s="2"/>
      <c r="I6" s="2"/>
      <c r="J6" s="2"/>
      <c r="K6" s="2"/>
      <c r="L6" s="2"/>
    </row>
    <row r="7">
      <c r="A7" s="6" t="s">
        <v>7</v>
      </c>
      <c r="B7" s="7">
        <v>80.0</v>
      </c>
      <c r="C7" s="8" t="str">
        <f t="shared" si="1"/>
        <v>Pass</v>
      </c>
      <c r="D7" s="2"/>
      <c r="E7" s="2"/>
      <c r="F7" s="2"/>
      <c r="G7" s="2"/>
      <c r="H7" s="2"/>
      <c r="I7" s="2"/>
      <c r="J7" s="2"/>
      <c r="K7" s="2"/>
      <c r="L7" s="2"/>
    </row>
    <row r="8">
      <c r="A8" s="6" t="s">
        <v>8</v>
      </c>
      <c r="B8" s="7">
        <v>30.0</v>
      </c>
      <c r="C8" s="8" t="str">
        <f t="shared" si="1"/>
        <v>Fail</v>
      </c>
      <c r="D8" s="2"/>
      <c r="E8" s="2"/>
      <c r="F8" s="2"/>
      <c r="G8" s="2"/>
      <c r="H8" s="2"/>
      <c r="I8" s="2"/>
      <c r="J8" s="2"/>
      <c r="K8" s="2"/>
      <c r="L8" s="2"/>
    </row>
    <row r="11">
      <c r="A11" s="1" t="s">
        <v>9</v>
      </c>
      <c r="N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9" t="s">
        <v>10</v>
      </c>
      <c r="B13" s="10" t="s">
        <v>11</v>
      </c>
      <c r="C13" s="10" t="s">
        <v>12</v>
      </c>
      <c r="D13" s="5" t="s"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11" t="s">
        <v>13</v>
      </c>
      <c r="B14" s="11">
        <v>55000.0</v>
      </c>
      <c r="C14" s="12">
        <v>0.95</v>
      </c>
      <c r="D14" s="8" t="str">
        <f t="shared" ref="D14:D17" si="2">IF(AND(B14&gt;40000, C14&gt;=90%), "Bonus", "No Bonus")</f>
        <v>Bonus</v>
      </c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11" t="s">
        <v>14</v>
      </c>
      <c r="B15" s="11">
        <v>65000.0</v>
      </c>
      <c r="C15" s="12">
        <v>0.85</v>
      </c>
      <c r="D15" s="8" t="str">
        <f t="shared" si="2"/>
        <v>No Bonus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11" t="s">
        <v>15</v>
      </c>
      <c r="B16" s="11">
        <v>30000.0</v>
      </c>
      <c r="C16" s="12">
        <v>0.9</v>
      </c>
      <c r="D16" s="8" t="str">
        <f t="shared" si="2"/>
        <v>No Bonus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11" t="s">
        <v>16</v>
      </c>
      <c r="B17" s="11">
        <v>25000.0</v>
      </c>
      <c r="C17" s="12">
        <v>0.65</v>
      </c>
      <c r="D17" s="8" t="str">
        <f t="shared" si="2"/>
        <v>No Bonus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13" t="s">
        <v>17</v>
      </c>
      <c r="F19" s="2"/>
      <c r="G19" s="2"/>
      <c r="H19" s="2"/>
      <c r="I19" s="2"/>
      <c r="J19" s="2"/>
      <c r="K19" s="2"/>
      <c r="L19" s="2"/>
      <c r="M19" s="2"/>
      <c r="N19" s="2"/>
    </row>
    <row r="21">
      <c r="A21" s="9" t="s">
        <v>1</v>
      </c>
      <c r="B21" s="9" t="s">
        <v>2</v>
      </c>
      <c r="C21" s="5" t="s">
        <v>3</v>
      </c>
      <c r="E21" s="2"/>
    </row>
    <row r="22">
      <c r="A22" s="14" t="s">
        <v>18</v>
      </c>
      <c r="B22" s="14">
        <v>85.0</v>
      </c>
      <c r="C22" s="8" t="str">
        <f t="shared" ref="C22:C26" si="3">IF(B22&gt;=90,"A",IF(B22&gt;=75,"B",IF(B22&gt;=50,"C","Fail")))</f>
        <v>B</v>
      </c>
      <c r="E22" s="2"/>
    </row>
    <row r="23">
      <c r="A23" s="14" t="s">
        <v>19</v>
      </c>
      <c r="B23" s="14">
        <v>96.0</v>
      </c>
      <c r="C23" s="8" t="str">
        <f t="shared" si="3"/>
        <v>A</v>
      </c>
      <c r="E23" s="2"/>
    </row>
    <row r="24">
      <c r="A24" s="14" t="s">
        <v>20</v>
      </c>
      <c r="B24" s="14">
        <v>57.0</v>
      </c>
      <c r="C24" s="8" t="str">
        <f t="shared" si="3"/>
        <v>C</v>
      </c>
      <c r="E24" s="2"/>
    </row>
    <row r="25">
      <c r="A25" s="14" t="s">
        <v>21</v>
      </c>
      <c r="B25" s="14">
        <v>92.0</v>
      </c>
      <c r="C25" s="8" t="str">
        <f t="shared" si="3"/>
        <v>A</v>
      </c>
      <c r="E25" s="2"/>
    </row>
    <row r="26">
      <c r="A26" s="14" t="s">
        <v>22</v>
      </c>
      <c r="B26" s="14">
        <v>75.0</v>
      </c>
      <c r="C26" s="8" t="str">
        <f t="shared" si="3"/>
        <v>B</v>
      </c>
      <c r="E26" s="2"/>
    </row>
    <row r="29">
      <c r="A29" s="1" t="s">
        <v>23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24</v>
      </c>
      <c r="B31" s="3" t="s">
        <v>25</v>
      </c>
      <c r="C31" s="3" t="s">
        <v>26</v>
      </c>
      <c r="D31" s="15" t="s">
        <v>27</v>
      </c>
      <c r="E31" s="15" t="s">
        <v>26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 t="s">
        <v>28</v>
      </c>
      <c r="B32" s="6" t="s">
        <v>6</v>
      </c>
      <c r="C32" s="6" t="s">
        <v>29</v>
      </c>
      <c r="D32" s="6" t="s">
        <v>30</v>
      </c>
      <c r="E32" s="6" t="str">
        <f>VLOOKUP("E103", A31:C35, 3, FALSE)</f>
        <v>Finance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6" t="s">
        <v>31</v>
      </c>
      <c r="B33" s="17" t="s">
        <v>4</v>
      </c>
      <c r="C33" s="17" t="s">
        <v>32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" t="s">
        <v>30</v>
      </c>
      <c r="B34" s="6" t="s">
        <v>33</v>
      </c>
      <c r="C34" s="6" t="s">
        <v>34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" t="s">
        <v>35</v>
      </c>
      <c r="B35" s="6" t="s">
        <v>36</v>
      </c>
      <c r="C35" s="6" t="s">
        <v>11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8" t="s">
        <v>37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9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0" t="s">
        <v>38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0" t="s">
        <v>39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0" t="s">
        <v>40</v>
      </c>
      <c r="Z42" s="2"/>
    </row>
    <row r="45">
      <c r="A45" s="13" t="s">
        <v>41</v>
      </c>
      <c r="F45" s="2"/>
    </row>
    <row r="46">
      <c r="A46" s="2"/>
      <c r="B46" s="2"/>
      <c r="C46" s="2"/>
      <c r="D46" s="2"/>
      <c r="E46" s="2"/>
      <c r="F46" s="2"/>
    </row>
    <row r="47">
      <c r="A47" s="2"/>
      <c r="B47" s="21" t="s">
        <v>42</v>
      </c>
      <c r="C47" s="21" t="s">
        <v>43</v>
      </c>
      <c r="D47" s="22" t="s">
        <v>27</v>
      </c>
      <c r="E47" s="22">
        <v>45000.0</v>
      </c>
      <c r="F47" s="2"/>
    </row>
    <row r="48">
      <c r="A48" s="2"/>
      <c r="B48" s="23">
        <v>0.0</v>
      </c>
      <c r="C48" s="24">
        <v>0.05</v>
      </c>
      <c r="D48" s="25" t="s">
        <v>43</v>
      </c>
      <c r="E48" s="26">
        <f>VLOOKUP(45000,B47:C51,2,TRUE)</f>
        <v>0.1</v>
      </c>
      <c r="F48" s="2"/>
    </row>
    <row r="49">
      <c r="A49" s="2"/>
      <c r="B49" s="23">
        <v>20000.0</v>
      </c>
      <c r="C49" s="24">
        <v>0.1</v>
      </c>
      <c r="D49" s="2"/>
      <c r="E49" s="2"/>
      <c r="F49" s="2"/>
    </row>
    <row r="50">
      <c r="A50" s="2"/>
      <c r="B50" s="23">
        <v>50000.0</v>
      </c>
      <c r="C50" s="24">
        <v>0.15</v>
      </c>
      <c r="D50" s="2"/>
      <c r="E50" s="2"/>
      <c r="F50" s="2"/>
    </row>
    <row r="51">
      <c r="A51" s="2"/>
      <c r="B51" s="23">
        <v>80000.0</v>
      </c>
      <c r="C51" s="24">
        <v>0.2</v>
      </c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13" t="s">
        <v>44</v>
      </c>
      <c r="F53" s="2"/>
    </row>
    <row r="54">
      <c r="A54" s="2"/>
      <c r="B54" s="27" t="s">
        <v>45</v>
      </c>
      <c r="C54" s="27" t="s">
        <v>46</v>
      </c>
      <c r="D54" s="27" t="s">
        <v>47</v>
      </c>
      <c r="E54" s="28" t="s">
        <v>48</v>
      </c>
      <c r="F54" s="2"/>
    </row>
    <row r="55">
      <c r="A55" s="2"/>
      <c r="B55" s="25" t="s">
        <v>49</v>
      </c>
      <c r="C55" s="25">
        <v>10.0</v>
      </c>
      <c r="D55" s="25">
        <v>12.0</v>
      </c>
      <c r="E55" s="6" t="str">
        <f t="shared" ref="E55:E57" si="4">IF(C55&gt;D55, "Exceeded", "OK")</f>
        <v>OK</v>
      </c>
    </row>
    <row r="56">
      <c r="A56" s="2"/>
      <c r="B56" s="25" t="s">
        <v>50</v>
      </c>
      <c r="C56" s="25">
        <v>16.0</v>
      </c>
      <c r="D56" s="25">
        <v>15.0</v>
      </c>
      <c r="E56" s="6" t="str">
        <f t="shared" si="4"/>
        <v>Exceeded</v>
      </c>
    </row>
    <row r="57">
      <c r="A57" s="2"/>
      <c r="B57" s="25" t="s">
        <v>51</v>
      </c>
      <c r="C57" s="25">
        <v>8.0</v>
      </c>
      <c r="D57" s="25">
        <v>12.0</v>
      </c>
      <c r="E57" s="6" t="str">
        <f t="shared" si="4"/>
        <v>OK</v>
      </c>
    </row>
    <row r="58">
      <c r="A58" s="2"/>
      <c r="B58" s="2"/>
      <c r="C58" s="2"/>
      <c r="D58" s="2"/>
      <c r="E58" s="2"/>
    </row>
    <row r="60">
      <c r="A60" s="29" t="s">
        <v>52</v>
      </c>
      <c r="G60" s="30"/>
    </row>
    <row r="61">
      <c r="A61" s="31"/>
      <c r="B61" s="31"/>
      <c r="C61" s="31"/>
      <c r="D61" s="31"/>
      <c r="E61" s="30"/>
      <c r="F61" s="30"/>
      <c r="G61" s="30"/>
    </row>
    <row r="62">
      <c r="A62" s="30"/>
      <c r="B62" s="32" t="s">
        <v>24</v>
      </c>
      <c r="C62" s="32" t="s">
        <v>53</v>
      </c>
      <c r="D62" s="30"/>
      <c r="E62" s="30"/>
      <c r="F62" s="30"/>
      <c r="G62" s="30"/>
    </row>
    <row r="63">
      <c r="A63" s="30"/>
      <c r="B63" s="33" t="s">
        <v>35</v>
      </c>
      <c r="C63" s="34">
        <v>55000.0</v>
      </c>
      <c r="D63" s="30"/>
      <c r="E63" s="35" t="s">
        <v>54</v>
      </c>
      <c r="F63" s="36">
        <f t="array" ref="F63">INDEX(C62:C66, MATCH("E105", B62:B66, 0))</f>
        <v>72000</v>
      </c>
      <c r="G63" s="30"/>
    </row>
    <row r="64">
      <c r="A64" s="30"/>
      <c r="B64" s="33" t="s">
        <v>55</v>
      </c>
      <c r="C64" s="34">
        <v>72000.0</v>
      </c>
      <c r="D64" s="30"/>
      <c r="E64" s="30"/>
      <c r="F64" s="30"/>
      <c r="G64" s="30"/>
    </row>
    <row r="65">
      <c r="A65" s="37"/>
      <c r="B65" s="33" t="s">
        <v>56</v>
      </c>
      <c r="C65" s="34">
        <v>62000.0</v>
      </c>
      <c r="D65" s="30"/>
      <c r="E65" s="30"/>
      <c r="F65" s="30"/>
      <c r="G65" s="30"/>
    </row>
    <row r="66">
      <c r="A66" s="30"/>
      <c r="B66" s="33" t="s">
        <v>31</v>
      </c>
      <c r="C66" s="34">
        <v>41000.0</v>
      </c>
      <c r="D66" s="30"/>
      <c r="E66" s="30"/>
      <c r="F66" s="30"/>
      <c r="G66" s="30"/>
    </row>
    <row r="67">
      <c r="A67" s="38"/>
      <c r="B67" s="38"/>
      <c r="C67" s="30"/>
      <c r="D67" s="30"/>
      <c r="E67" s="30"/>
      <c r="F67" s="30"/>
      <c r="G67" s="30"/>
    </row>
    <row r="68">
      <c r="A68" s="39" t="s">
        <v>57</v>
      </c>
      <c r="G68" s="30"/>
    </row>
    <row r="69">
      <c r="A69" s="38"/>
      <c r="B69" s="38"/>
      <c r="C69" s="30"/>
      <c r="D69" s="30"/>
      <c r="E69" s="30"/>
      <c r="F69" s="30"/>
      <c r="G69" s="30"/>
    </row>
    <row r="71">
      <c r="A71" s="40" t="s">
        <v>58</v>
      </c>
    </row>
    <row r="72">
      <c r="A72" s="2"/>
      <c r="B72" s="2"/>
      <c r="C72" s="2"/>
      <c r="D72" s="2"/>
      <c r="E72" s="2"/>
      <c r="F72" s="2"/>
      <c r="G72" s="2"/>
    </row>
    <row r="73">
      <c r="A73" s="2"/>
      <c r="B73" s="27" t="s">
        <v>24</v>
      </c>
      <c r="C73" s="27" t="s">
        <v>26</v>
      </c>
      <c r="D73" s="41"/>
      <c r="E73" s="15" t="s">
        <v>59</v>
      </c>
      <c r="F73" s="42" t="str">
        <f t="array" ref="F73">XLOOKUP("E303", B73:B77, C73:C77)</f>
        <v>IT</v>
      </c>
      <c r="G73" s="2"/>
    </row>
    <row r="74">
      <c r="A74" s="2"/>
      <c r="B74" s="25" t="s">
        <v>28</v>
      </c>
      <c r="C74" s="25" t="s">
        <v>32</v>
      </c>
      <c r="D74" s="43"/>
      <c r="E74" s="2"/>
      <c r="F74" s="2"/>
      <c r="G74" s="2"/>
    </row>
    <row r="75">
      <c r="A75" s="2"/>
      <c r="B75" s="25" t="s">
        <v>60</v>
      </c>
      <c r="C75" s="25" t="s">
        <v>29</v>
      </c>
      <c r="D75" s="43"/>
      <c r="E75" s="2"/>
      <c r="F75" s="2"/>
      <c r="G75" s="2"/>
    </row>
    <row r="76">
      <c r="A76" s="2"/>
      <c r="B76" s="25" t="s">
        <v>56</v>
      </c>
      <c r="C76" s="25" t="s">
        <v>11</v>
      </c>
      <c r="D76" s="43"/>
      <c r="E76" s="2"/>
      <c r="F76" s="2"/>
      <c r="G76" s="2"/>
    </row>
    <row r="77">
      <c r="A77" s="2"/>
      <c r="B77" s="25" t="s">
        <v>61</v>
      </c>
      <c r="C77" s="25" t="s">
        <v>34</v>
      </c>
      <c r="D77" s="43"/>
      <c r="E77" s="2"/>
      <c r="F77" s="2"/>
      <c r="G77" s="2"/>
    </row>
    <row r="78">
      <c r="A78" s="2"/>
      <c r="B78" s="2"/>
      <c r="C78" s="2"/>
      <c r="D78" s="2"/>
      <c r="E78" s="2"/>
      <c r="F78" s="2"/>
      <c r="G78" s="2"/>
    </row>
    <row r="79">
      <c r="A79" s="2"/>
      <c r="B79" s="2"/>
      <c r="C79" s="2"/>
      <c r="D79" s="2"/>
      <c r="E79" s="2"/>
      <c r="F79" s="2"/>
      <c r="G79" s="2"/>
    </row>
  </sheetData>
  <mergeCells count="12">
    <mergeCell ref="A45:E45"/>
    <mergeCell ref="A53:E53"/>
    <mergeCell ref="A60:F60"/>
    <mergeCell ref="A68:F68"/>
    <mergeCell ref="A71:G71"/>
    <mergeCell ref="A1:J1"/>
    <mergeCell ref="A11:M11"/>
    <mergeCell ref="A19:E20"/>
    <mergeCell ref="A29:H29"/>
    <mergeCell ref="A40:D40"/>
    <mergeCell ref="A41:D41"/>
    <mergeCell ref="A42:Y42"/>
  </mergeCells>
  <drawing r:id="rId1"/>
</worksheet>
</file>